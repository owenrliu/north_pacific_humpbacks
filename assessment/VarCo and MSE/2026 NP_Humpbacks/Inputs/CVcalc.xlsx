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63708B9-C289-455E-8450-BEF0528470BB}" xr6:coauthVersionLast="47" xr6:coauthVersionMax="47" xr10:uidLastSave="{00000000-0000-0000-0000-000000000000}"/>
  <bookViews>
    <workbookView xWindow="11683" yWindow="2640" windowWidth="24814" windowHeight="15463" xr2:uid="{2C5C5C63-FD3B-437B-AC0D-5DFF51CB2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F21" i="1" s="1"/>
  <c r="H21" i="1" s="1"/>
  <c r="D20" i="1"/>
  <c r="F20" i="1" s="1"/>
  <c r="H20" i="1" s="1"/>
  <c r="D19" i="1"/>
  <c r="F19" i="1" s="1"/>
  <c r="H19" i="1" s="1"/>
  <c r="D18" i="1"/>
  <c r="F18" i="1" s="1"/>
  <c r="H18" i="1" s="1"/>
  <c r="D17" i="1"/>
  <c r="F17" i="1" s="1"/>
  <c r="H17" i="1" s="1"/>
  <c r="D16" i="1"/>
  <c r="F16" i="1" s="1"/>
  <c r="H16" i="1" s="1"/>
  <c r="F15" i="1"/>
  <c r="H15" i="1" s="1"/>
  <c r="D15" i="1"/>
  <c r="E15" i="1" s="1"/>
  <c r="G15" i="1" s="1"/>
  <c r="D14" i="1"/>
  <c r="F14" i="1" s="1"/>
  <c r="H14" i="1" s="1"/>
  <c r="D12" i="1"/>
  <c r="F12" i="1" s="1"/>
  <c r="H12" i="1" s="1"/>
  <c r="D11" i="1"/>
  <c r="F11" i="1" s="1"/>
  <c r="H11" i="1" s="1"/>
  <c r="D10" i="1"/>
  <c r="F10" i="1" s="1"/>
  <c r="H10" i="1" s="1"/>
  <c r="D9" i="1"/>
  <c r="F9" i="1" s="1"/>
  <c r="H9" i="1" s="1"/>
  <c r="D7" i="1"/>
  <c r="F7" i="1" s="1"/>
  <c r="H7" i="1" s="1"/>
  <c r="D8" i="1"/>
  <c r="F8" i="1" s="1"/>
  <c r="H8" i="1" s="1"/>
  <c r="H5" i="1"/>
  <c r="G5" i="1"/>
  <c r="H4" i="1"/>
  <c r="G4" i="1"/>
  <c r="H3" i="1"/>
  <c r="G3" i="1"/>
  <c r="H2" i="1"/>
  <c r="G2" i="1"/>
  <c r="F5" i="1"/>
  <c r="D5" i="1"/>
  <c r="E5" i="1" s="1"/>
  <c r="D4" i="1"/>
  <c r="F4" i="1" s="1"/>
  <c r="D3" i="1"/>
  <c r="F3" i="1" s="1"/>
  <c r="F2" i="1"/>
  <c r="E2" i="1"/>
  <c r="D2" i="1"/>
  <c r="E21" i="1" l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4" i="1"/>
  <c r="G14" i="1" s="1"/>
  <c r="E12" i="1"/>
  <c r="G12" i="1" s="1"/>
  <c r="E11" i="1"/>
  <c r="G11" i="1" s="1"/>
  <c r="E10" i="1"/>
  <c r="G10" i="1" s="1"/>
  <c r="E9" i="1"/>
  <c r="G9" i="1" s="1"/>
  <c r="E7" i="1"/>
  <c r="G7" i="1" s="1"/>
  <c r="E8" i="1"/>
  <c r="G8" i="1" s="1"/>
  <c r="E4" i="1"/>
  <c r="E3" i="1"/>
</calcChain>
</file>

<file path=xl/sharedStrings.xml><?xml version="1.0" encoding="utf-8"?>
<sst xmlns="http://schemas.openxmlformats.org/spreadsheetml/2006/main" count="24" uniqueCount="22">
  <si>
    <t>2044-3463 95%</t>
  </si>
  <si>
    <t>2925-4627 95%</t>
  </si>
  <si>
    <t>3261-5454 95%</t>
  </si>
  <si>
    <t>3146-5836 95%</t>
  </si>
  <si>
    <t>Est</t>
  </si>
  <si>
    <t>Low</t>
  </si>
  <si>
    <t>Hi</t>
  </si>
  <si>
    <t>CV</t>
  </si>
  <si>
    <t>465-729=95%</t>
  </si>
  <si>
    <t>2030-2762=95%</t>
  </si>
  <si>
    <t>1121-2499=95%</t>
  </si>
  <si>
    <t>3475-5012=95%</t>
  </si>
  <si>
    <t>1612-2448=95%</t>
  </si>
  <si>
    <t>7357-9112=95%</t>
  </si>
  <si>
    <t>299-1265 -95%CI</t>
  </si>
  <si>
    <t>758-3813 -95%CI</t>
  </si>
  <si>
    <t>918-2596  -95%CI</t>
  </si>
  <si>
    <t>1527-2440  -95%CI</t>
  </si>
  <si>
    <t>74-614 -95%CI</t>
  </si>
  <si>
    <t>214-1117 -95%CI</t>
  </si>
  <si>
    <t>238-1472 -95%CI</t>
  </si>
  <si>
    <t>216-1126 -95%CI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</si>
</sst>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1B28-2F7E-411B-9470-8D890EE1A9E4}">
  <dimension ref="A1:K21"/>
  <sheetViews>
    <sheetView tabSelected="1" workbookViewId="0">
      <selection activeCell="D8" sqref="D8"/>
    </sheetView>
  </sheetViews>
  <sheetFormatPr defaultRowHeight="14.15"/>
  <sheetData>
    <row r="1" spans="1:11">
      <c r="A1" t="s">
        <v>4</v>
      </c>
      <c r="B1" t="s">
        <v>5</v>
      </c>
      <c r="C1" t="s">
        <v>6</v>
      </c>
      <c r="D1" t="s">
        <v>7</v>
      </c>
      <c r="E1" t="s">
        <v>5</v>
      </c>
      <c r="F1" t="s">
        <v>6</v>
      </c>
    </row>
    <row r="2" spans="1:11">
      <c r="A2">
        <v>2754</v>
      </c>
      <c r="B2">
        <v>2044</v>
      </c>
      <c r="C2">
        <v>3463</v>
      </c>
      <c r="D2">
        <f>(LN(C2)-LN(B2))/(2*1.96)</f>
        <v>0.13449657986704786</v>
      </c>
      <c r="E2">
        <f>$A2*EXP(-1.96*$D2)</f>
        <v>2115.8171638549984</v>
      </c>
      <c r="F2">
        <f>$A2*EXP(1.96*$D2)</f>
        <v>3584.6745784881923</v>
      </c>
      <c r="G2" s="1">
        <f>B2/E2</f>
        <v>0.96605700857244758</v>
      </c>
      <c r="H2" s="1">
        <f>C2/F2</f>
        <v>0.96605700857244692</v>
      </c>
      <c r="K2" t="s">
        <v>0</v>
      </c>
    </row>
    <row r="3" spans="1:11">
      <c r="A3">
        <v>3776</v>
      </c>
      <c r="B3">
        <v>2925</v>
      </c>
      <c r="C3">
        <v>4627</v>
      </c>
      <c r="D3">
        <f>(LN(C3)-LN(B3))/(2*1.96)</f>
        <v>0.11699342582679666</v>
      </c>
      <c r="E3">
        <f>$A3*EXP(-1.96*$D3)</f>
        <v>3002.2383696184934</v>
      </c>
      <c r="F3">
        <f>$A3*EXP(1.96*$D3)</f>
        <v>4749.1818585383826</v>
      </c>
      <c r="G3" s="1">
        <f t="shared" ref="G3:G5" si="0">B3/E3</f>
        <v>0.97427307225165194</v>
      </c>
      <c r="H3" s="1">
        <f t="shared" ref="H3:H5" si="1">C3/F3</f>
        <v>0.97427307225165194</v>
      </c>
      <c r="K3" t="s">
        <v>1</v>
      </c>
    </row>
    <row r="4" spans="1:11">
      <c r="A4">
        <v>4358</v>
      </c>
      <c r="B4">
        <v>3261</v>
      </c>
      <c r="C4">
        <v>5454</v>
      </c>
      <c r="D4">
        <f>(LN(C4)-LN(B4))/(2*1.96)</f>
        <v>0.13120290500413637</v>
      </c>
      <c r="E4">
        <f>$A4*EXP(-1.96*$D4)</f>
        <v>3369.8072359529333</v>
      </c>
      <c r="F4">
        <f>$A4*EXP(1.96*$D4)</f>
        <v>5635.9793513913819</v>
      </c>
      <c r="G4" s="1">
        <f t="shared" si="0"/>
        <v>0.96771113944083975</v>
      </c>
      <c r="H4" s="1">
        <f t="shared" si="1"/>
        <v>0.96771113944083986</v>
      </c>
      <c r="K4" t="s">
        <v>2</v>
      </c>
    </row>
    <row r="5" spans="1:11">
      <c r="A5">
        <v>4491</v>
      </c>
      <c r="B5">
        <v>3146</v>
      </c>
      <c r="C5">
        <v>5836</v>
      </c>
      <c r="D5">
        <f>(LN(C5)-LN(B5))/(2*1.96)</f>
        <v>0.15763107806746274</v>
      </c>
      <c r="E5">
        <f>$A5*EXP(-1.96*$D5)</f>
        <v>3297.3479079162407</v>
      </c>
      <c r="F5">
        <f>$A5*EXP(1.96*$D5)</f>
        <v>6116.758547552191</v>
      </c>
      <c r="G5" s="1">
        <f t="shared" si="0"/>
        <v>0.95410010949924751</v>
      </c>
      <c r="H5" s="1">
        <f t="shared" si="1"/>
        <v>0.95410010949924695</v>
      </c>
      <c r="K5" t="s">
        <v>3</v>
      </c>
    </row>
    <row r="6" spans="1:11">
      <c r="G6" s="1"/>
      <c r="H6" s="1"/>
    </row>
    <row r="7" spans="1:11">
      <c r="A7">
        <v>571</v>
      </c>
      <c r="B7">
        <v>465</v>
      </c>
      <c r="C7">
        <v>729</v>
      </c>
      <c r="D7">
        <f>(LN(C7)-LN(B7))/(2*1.96)</f>
        <v>0.1147031444952302</v>
      </c>
      <c r="E7">
        <f>$A7*EXP(-1.96*$D7)</f>
        <v>456.03567743615201</v>
      </c>
      <c r="F7">
        <f>$A7*EXP(1.96*$D7)</f>
        <v>714.94625559345161</v>
      </c>
      <c r="G7" s="1">
        <f t="shared" ref="G7" si="2">B7/E7</f>
        <v>1.019657064145169</v>
      </c>
      <c r="H7" s="1">
        <f t="shared" ref="H7" si="3">C7/F7</f>
        <v>1.0196570641451683</v>
      </c>
      <c r="K7" t="s">
        <v>8</v>
      </c>
    </row>
    <row r="8" spans="1:11">
      <c r="A8">
        <v>2352</v>
      </c>
      <c r="B8">
        <v>2030</v>
      </c>
      <c r="C8">
        <v>2762</v>
      </c>
      <c r="D8">
        <f>(LN(C8)-LN(B8))/(2*1.96)</f>
        <v>7.8550832125868567E-2</v>
      </c>
      <c r="E8">
        <f>$A8*EXP(-1.96*$D8)</f>
        <v>2016.3851912968885</v>
      </c>
      <c r="F8">
        <f>$A8*EXP(1.96*$D8)</f>
        <v>2743.4758120009892</v>
      </c>
      <c r="G8" s="1">
        <f t="shared" ref="G8:G12" si="4">B8/E8</f>
        <v>1.0067520872310884</v>
      </c>
      <c r="H8" s="1">
        <f t="shared" ref="H8:H12" si="5">C8/F8</f>
        <v>1.006752087231088</v>
      </c>
      <c r="K8" t="s">
        <v>9</v>
      </c>
    </row>
    <row r="9" spans="1:11">
      <c r="A9">
        <v>1642</v>
      </c>
      <c r="B9">
        <v>1121</v>
      </c>
      <c r="C9">
        <v>2499</v>
      </c>
      <c r="D9">
        <f>(LN(C9)-LN(B9))/(2*1.96)</f>
        <v>0.20450752749050821</v>
      </c>
      <c r="E9">
        <f>$A9*EXP(-1.96*$D9)</f>
        <v>1099.7471141521739</v>
      </c>
      <c r="F9">
        <f>$A9*EXP(1.96*$D9)</f>
        <v>2451.6218004159518</v>
      </c>
      <c r="G9" s="1">
        <f t="shared" si="4"/>
        <v>1.0193252481178008</v>
      </c>
      <c r="H9" s="1">
        <f t="shared" si="5"/>
        <v>1.019325248117801</v>
      </c>
      <c r="K9" t="s">
        <v>10</v>
      </c>
    </row>
    <row r="10" spans="1:11">
      <c r="A10">
        <v>4149</v>
      </c>
      <c r="B10">
        <v>3475</v>
      </c>
      <c r="C10">
        <v>5012</v>
      </c>
      <c r="D10">
        <f>(LN(C10)-LN(B10))/(2*1.96)</f>
        <v>9.3428713779863948E-2</v>
      </c>
      <c r="E10">
        <f>$A10*EXP(-1.96*$D10)</f>
        <v>3454.7395205179923</v>
      </c>
      <c r="F10">
        <f>$A10*EXP(1.96*$D10)</f>
        <v>4982.7782667154488</v>
      </c>
      <c r="G10" s="1">
        <f t="shared" si="4"/>
        <v>1.005864546186964</v>
      </c>
      <c r="H10" s="1">
        <f t="shared" si="5"/>
        <v>1.0058645461869635</v>
      </c>
      <c r="K10" t="s">
        <v>11</v>
      </c>
    </row>
    <row r="11" spans="1:11">
      <c r="A11">
        <v>1964</v>
      </c>
      <c r="B11">
        <v>1612</v>
      </c>
      <c r="C11">
        <v>2448</v>
      </c>
      <c r="D11">
        <f>(LN(C11)-LN(B11))/(2*1.96)</f>
        <v>0.10658054096062335</v>
      </c>
      <c r="E11">
        <f>$A11*EXP(-1.96*$D11)</f>
        <v>1593.7430189517743</v>
      </c>
      <c r="F11">
        <f>$A11*EXP(1.96*$D11)</f>
        <v>2420.274758308899</v>
      </c>
      <c r="G11" s="1">
        <f t="shared" si="4"/>
        <v>1.0114554108354517</v>
      </c>
      <c r="H11" s="1">
        <f t="shared" si="5"/>
        <v>1.0114554108354512</v>
      </c>
      <c r="K11" t="s">
        <v>12</v>
      </c>
    </row>
    <row r="12" spans="1:11">
      <c r="A12">
        <v>8168</v>
      </c>
      <c r="B12">
        <v>7357</v>
      </c>
      <c r="C12">
        <v>9112</v>
      </c>
      <c r="D12">
        <f>(LN(C12)-LN(B12))/(2*1.96)</f>
        <v>5.4576526835396454E-2</v>
      </c>
      <c r="E12">
        <f>$A12*EXP(-1.96*$D12)</f>
        <v>7339.3779293490261</v>
      </c>
      <c r="F12">
        <f>$A12*EXP(1.96*$D12)</f>
        <v>9090.1742139769412</v>
      </c>
      <c r="G12" s="1">
        <f t="shared" si="4"/>
        <v>1.0024010305533533</v>
      </c>
      <c r="H12" s="1">
        <f t="shared" si="5"/>
        <v>1.0024010305533528</v>
      </c>
      <c r="K12" t="s">
        <v>13</v>
      </c>
    </row>
    <row r="14" spans="1:11">
      <c r="A14">
        <v>616</v>
      </c>
      <c r="B14">
        <v>299</v>
      </c>
      <c r="C14">
        <v>1265</v>
      </c>
      <c r="D14">
        <f>(LN(C14)-LN(B14))/(2*1.96)</f>
        <v>0.36795505810483009</v>
      </c>
      <c r="E14">
        <f>$A14*EXP(-1.96*$D14)</f>
        <v>299.48221983950901</v>
      </c>
      <c r="F14">
        <f>$A14*EXP(1.96*$D14)</f>
        <v>1267.0401608594611</v>
      </c>
      <c r="G14" s="1">
        <f t="shared" ref="G14:G21" si="6">B14/E14</f>
        <v>0.99838982147331679</v>
      </c>
      <c r="H14" s="1">
        <f t="shared" ref="H14:H21" si="7">C14/F14</f>
        <v>0.99838982147331679</v>
      </c>
      <c r="K14" t="s">
        <v>14</v>
      </c>
    </row>
    <row r="15" spans="1:11">
      <c r="A15">
        <v>1701</v>
      </c>
      <c r="B15">
        <v>758</v>
      </c>
      <c r="C15">
        <v>3813</v>
      </c>
      <c r="D15">
        <f>(LN(C15)-LN(B15))/(2*1.96)</f>
        <v>0.41211433015693666</v>
      </c>
      <c r="E15">
        <f>$A15*EXP(-1.96*$D15)</f>
        <v>758.412554921028</v>
      </c>
      <c r="F15">
        <f>$A15*EXP(1.96*$D15)</f>
        <v>3815.0752927623726</v>
      </c>
      <c r="G15" s="1">
        <f t="shared" si="6"/>
        <v>0.99945602836035463</v>
      </c>
      <c r="H15" s="1">
        <f t="shared" si="7"/>
        <v>0.99945602836035519</v>
      </c>
      <c r="K15" t="s">
        <v>15</v>
      </c>
    </row>
    <row r="16" spans="1:11">
      <c r="A16">
        <v>1544</v>
      </c>
      <c r="B16">
        <v>918</v>
      </c>
      <c r="C16">
        <v>2596</v>
      </c>
      <c r="D16">
        <f>(LN(C16)-LN(B16))/(2*1.96)</f>
        <v>0.26518614469476776</v>
      </c>
      <c r="E16">
        <f>$A16*EXP(-1.96*$D16)</f>
        <v>918.15561084812623</v>
      </c>
      <c r="F16">
        <f>$A16*EXP(1.96*$D16)</f>
        <v>2596.4400498493837</v>
      </c>
      <c r="G16" s="1">
        <f t="shared" si="6"/>
        <v>0.99983051800121059</v>
      </c>
      <c r="H16" s="1">
        <f t="shared" si="7"/>
        <v>0.99983051800121125</v>
      </c>
      <c r="K16" t="s">
        <v>16</v>
      </c>
    </row>
    <row r="17" spans="1:11">
      <c r="A17">
        <v>1931</v>
      </c>
      <c r="B17">
        <v>1527</v>
      </c>
      <c r="C17">
        <v>2440</v>
      </c>
      <c r="D17">
        <f>(LN(C17)-LN(B17))/(2*1.96)</f>
        <v>0.1195645441501568</v>
      </c>
      <c r="E17">
        <f>$A17*EXP(-1.96*$D17)</f>
        <v>1527.590254772336</v>
      </c>
      <c r="F17">
        <f>$A17*EXP(1.96*$D17)</f>
        <v>2440.9431706905689</v>
      </c>
      <c r="G17" s="1">
        <f t="shared" si="6"/>
        <v>0.99961360399459731</v>
      </c>
      <c r="H17" s="1">
        <f t="shared" si="7"/>
        <v>0.99961360399459764</v>
      </c>
      <c r="K17" t="s">
        <v>17</v>
      </c>
    </row>
    <row r="18" spans="1:11">
      <c r="A18">
        <v>214</v>
      </c>
      <c r="B18">
        <v>74</v>
      </c>
      <c r="C18">
        <v>614</v>
      </c>
      <c r="D18">
        <f>(LN(C18)-LN(B18))/(2*1.96)</f>
        <v>0.53977801911810508</v>
      </c>
      <c r="E18">
        <f>$A18*EXP(-1.96*$D18)</f>
        <v>74.292581205325206</v>
      </c>
      <c r="F18">
        <f>$A18*EXP(1.96*$D18)</f>
        <v>616.42763324418445</v>
      </c>
      <c r="G18" s="1">
        <f t="shared" si="6"/>
        <v>0.99606177089854253</v>
      </c>
      <c r="H18" s="1">
        <f t="shared" si="7"/>
        <v>0.99606177089854309</v>
      </c>
      <c r="K18" t="s">
        <v>18</v>
      </c>
    </row>
    <row r="19" spans="1:11">
      <c r="A19">
        <v>490</v>
      </c>
      <c r="B19">
        <v>214</v>
      </c>
      <c r="C19">
        <v>1117</v>
      </c>
      <c r="D19">
        <f>(LN(C19)-LN(B19))/(2*1.96)</f>
        <v>0.42153718980799737</v>
      </c>
      <c r="E19">
        <f>$A19*EXP(-1.96*$D19)</f>
        <v>214.47485364702163</v>
      </c>
      <c r="F19">
        <f>$A19*EXP(1.96*$D19)</f>
        <v>1119.4785585220714</v>
      </c>
      <c r="G19" s="1">
        <f t="shared" si="6"/>
        <v>0.99778597052779372</v>
      </c>
      <c r="H19" s="1">
        <f t="shared" si="7"/>
        <v>0.99778597052779328</v>
      </c>
      <c r="K19" t="s">
        <v>19</v>
      </c>
    </row>
    <row r="20" spans="1:11">
      <c r="A20">
        <v>593</v>
      </c>
      <c r="B20">
        <v>238</v>
      </c>
      <c r="C20">
        <v>1472</v>
      </c>
      <c r="D20">
        <f>(LN(C20)-LN(B20))/(2*1.96)</f>
        <v>0.46482311877993526</v>
      </c>
      <c r="E20">
        <f>$A20*EXP(-1.96*$D20)</f>
        <v>238.44557475358033</v>
      </c>
      <c r="F20">
        <f>$A20*EXP(1.96*$D20)</f>
        <v>1474.7558236860084</v>
      </c>
      <c r="G20" s="1">
        <f t="shared" si="6"/>
        <v>0.99813133561383638</v>
      </c>
      <c r="H20" s="1">
        <f t="shared" si="7"/>
        <v>0.99813133561383705</v>
      </c>
      <c r="K20" t="s">
        <v>20</v>
      </c>
    </row>
    <row r="21" spans="1:11">
      <c r="A21">
        <v>494</v>
      </c>
      <c r="B21">
        <v>216</v>
      </c>
      <c r="C21">
        <v>1126</v>
      </c>
      <c r="D21">
        <f>(LN(C21)-LN(B21))/(2*1.96)</f>
        <v>0.42121132678966089</v>
      </c>
      <c r="E21">
        <f>$A21*EXP(-1.96*$D21)</f>
        <v>216.36381439053039</v>
      </c>
      <c r="F21">
        <f>$A21*EXP(1.96*$D21)</f>
        <v>1127.896550943228</v>
      </c>
      <c r="G21" s="1">
        <f t="shared" si="6"/>
        <v>0.99831850630127217</v>
      </c>
      <c r="H21" s="1">
        <f t="shared" si="7"/>
        <v>0.99831850630127206</v>
      </c>
      <c r="K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2024-03-10T11:01:18Z</dcterms:created>
  <dcterms:modified xsi:type="dcterms:W3CDTF">2024-03-10T11:08:11Z</dcterms:modified>
</cp:coreProperties>
</file>